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tahsina2_illinois_edu/Documents/UIUC/Sriver Lab/Projects/Observation Data/"/>
    </mc:Choice>
  </mc:AlternateContent>
  <xr:revisionPtr revIDLastSave="0" documentId="8_{10CA7AFD-D77E-8E49-8842-7A7AF47EBA5C}" xr6:coauthVersionLast="47" xr6:coauthVersionMax="47" xr10:uidLastSave="{00000000-0000-0000-0000-000000000000}"/>
  <bookViews>
    <workbookView xWindow="13260" yWindow="1000" windowWidth="17060" windowHeight="16680" xr2:uid="{AC700E1F-F6DD-D44A-87A3-8B290FAA9A35}"/>
  </bookViews>
  <sheets>
    <sheet name="stations" sheetId="1" r:id="rId1"/>
  </sheets>
  <definedNames>
    <definedName name="_xlnm._FilterDatabase" localSheetId="0" hidden="1">stations!$A$1:$G$1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8" i="1"/>
  <c r="F9" i="1"/>
  <c r="F13" i="1"/>
  <c r="E21" i="1"/>
  <c r="E16" i="1"/>
  <c r="E14" i="1"/>
  <c r="E12" i="1"/>
  <c r="E11" i="1"/>
  <c r="E10" i="1"/>
  <c r="D16" i="1"/>
  <c r="D10" i="1"/>
  <c r="D14" i="1"/>
  <c r="D12" i="1"/>
  <c r="D21" i="1"/>
  <c r="D11" i="1"/>
</calcChain>
</file>

<file path=xl/sharedStrings.xml><?xml version="1.0" encoding="utf-8"?>
<sst xmlns="http://schemas.openxmlformats.org/spreadsheetml/2006/main" count="87" uniqueCount="70">
  <si>
    <t>Bondville</t>
  </si>
  <si>
    <t>Dixon Springs</t>
  </si>
  <si>
    <t>Brownstown</t>
  </si>
  <si>
    <t>De Kalb</t>
  </si>
  <si>
    <t>Monmouth</t>
  </si>
  <si>
    <t>Kilbourne</t>
  </si>
  <si>
    <t>Peoria</t>
  </si>
  <si>
    <t>Springfield</t>
  </si>
  <si>
    <t>Belleville</t>
  </si>
  <si>
    <t>Carbondale</t>
  </si>
  <si>
    <t>Olney</t>
  </si>
  <si>
    <t>Freeport</t>
  </si>
  <si>
    <t>Stelle</t>
  </si>
  <si>
    <t>St. Charles</t>
  </si>
  <si>
    <t>Fairfield</t>
  </si>
  <si>
    <t>Champaign</t>
  </si>
  <si>
    <t>County</t>
  </si>
  <si>
    <t>Station</t>
  </si>
  <si>
    <t>Code</t>
  </si>
  <si>
    <t>DXS</t>
  </si>
  <si>
    <t>BRW</t>
  </si>
  <si>
    <t>BVL</t>
  </si>
  <si>
    <t>ORR</t>
  </si>
  <si>
    <t>Perry</t>
  </si>
  <si>
    <t>DEK</t>
  </si>
  <si>
    <t>MON</t>
  </si>
  <si>
    <t>SIU</t>
  </si>
  <si>
    <t>FRE</t>
  </si>
  <si>
    <t>CMI</t>
  </si>
  <si>
    <t>Warren</t>
  </si>
  <si>
    <t>Jackson</t>
  </si>
  <si>
    <t>St. Claire</t>
  </si>
  <si>
    <t>Fayette</t>
  </si>
  <si>
    <t>DeKalb</t>
  </si>
  <si>
    <t>Pope</t>
  </si>
  <si>
    <t>Wayne</t>
  </si>
  <si>
    <t>Stephenson</t>
  </si>
  <si>
    <t>Jefferson</t>
  </si>
  <si>
    <t>Mason</t>
  </si>
  <si>
    <t>Richland</t>
  </si>
  <si>
    <t>Tazewell</t>
  </si>
  <si>
    <t>Pike</t>
  </si>
  <si>
    <t>Sangamon</t>
  </si>
  <si>
    <t>Kane</t>
  </si>
  <si>
    <t>Ford</t>
  </si>
  <si>
    <t>FRM</t>
  </si>
  <si>
    <t>FAI</t>
  </si>
  <si>
    <t>SFM</t>
  </si>
  <si>
    <t>OLN</t>
  </si>
  <si>
    <t>ICC</t>
  </si>
  <si>
    <t>LLC</t>
  </si>
  <si>
    <t>STC</t>
  </si>
  <si>
    <t>STE</t>
  </si>
  <si>
    <t>Snicarte</t>
  </si>
  <si>
    <t>SNI</t>
  </si>
  <si>
    <t>RND</t>
  </si>
  <si>
    <t>Total Porosity (mm)</t>
  </si>
  <si>
    <t>Latitude</t>
  </si>
  <si>
    <t>Longitude</t>
  </si>
  <si>
    <t>Soil Texture</t>
  </si>
  <si>
    <t>Silt Loam</t>
  </si>
  <si>
    <t>Silt Clay Loam</t>
  </si>
  <si>
    <t>BBC</t>
  </si>
  <si>
    <t>Big Bend</t>
  </si>
  <si>
    <t>Rand Lake</t>
  </si>
  <si>
    <t>=</t>
  </si>
  <si>
    <t>Whiteside</t>
  </si>
  <si>
    <t>Knox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</si>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</sst>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4" fontId="0" fillId="0" borderId="0" xfId="0" applyNumberFormat="1"/>
    <xf numFmtId="14" fontId="18" fillId="0" borderId="0" xfId="0" applyNumberFormat="1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8535-C090-B248-A1C3-21A1F391ACE6}">
  <dimension ref="A1:I21"/>
  <sheetViews>
    <sheetView tabSelected="1" topLeftCell="D1" workbookViewId="0">
      <selection activeCell="H17" sqref="H17"/>
    </sheetView>
  </sheetViews>
  <sheetFormatPr baseColWidth="10" defaultRowHeight="16" x14ac:dyDescent="0.2"/>
  <cols>
    <col min="2" max="3" width="20.33203125" customWidth="1"/>
    <col min="4" max="4" width="23" customWidth="1"/>
    <col min="5" max="5" width="22" customWidth="1"/>
    <col min="6" max="6" width="23.5" customWidth="1"/>
  </cols>
  <sheetData>
    <row r="1" spans="1:9" x14ac:dyDescent="0.2">
      <c r="A1" t="s">
        <v>16</v>
      </c>
      <c r="B1" t="s">
        <v>17</v>
      </c>
      <c r="C1" t="s">
        <v>18</v>
      </c>
      <c r="D1" t="s">
        <v>57</v>
      </c>
      <c r="E1" t="s">
        <v>58</v>
      </c>
      <c r="F1" t="s">
        <v>56</v>
      </c>
      <c r="G1" t="s">
        <v>59</v>
      </c>
      <c r="H1" t="s">
        <v>68</v>
      </c>
      <c r="I1" t="s">
        <v>69</v>
      </c>
    </row>
    <row r="2" spans="1:9" x14ac:dyDescent="0.2">
      <c r="A2" t="s">
        <v>66</v>
      </c>
      <c r="B2" t="s">
        <v>63</v>
      </c>
      <c r="C2" t="s">
        <v>62</v>
      </c>
      <c r="D2">
        <v>41.63</v>
      </c>
      <c r="E2">
        <v>-90.04</v>
      </c>
      <c r="F2" s="1"/>
      <c r="G2" s="1"/>
      <c r="H2" s="2">
        <v>40375</v>
      </c>
    </row>
    <row r="3" spans="1:9" s="1" customFormat="1" x14ac:dyDescent="0.2">
      <c r="A3" t="s">
        <v>32</v>
      </c>
      <c r="B3" t="s">
        <v>2</v>
      </c>
      <c r="C3" t="s">
        <v>20</v>
      </c>
      <c r="D3">
        <v>38.948999999999998</v>
      </c>
      <c r="E3">
        <v>-88.96</v>
      </c>
      <c r="F3">
        <v>504</v>
      </c>
      <c r="G3" t="s">
        <v>60</v>
      </c>
      <c r="H3" s="3">
        <v>37670</v>
      </c>
    </row>
    <row r="4" spans="1:9" x14ac:dyDescent="0.2">
      <c r="A4" t="s">
        <v>15</v>
      </c>
      <c r="B4" t="s">
        <v>0</v>
      </c>
      <c r="C4" t="s">
        <v>21</v>
      </c>
      <c r="D4">
        <v>40.052999999999997</v>
      </c>
      <c r="E4">
        <v>-88.370999999999995</v>
      </c>
      <c r="F4">
        <v>504</v>
      </c>
      <c r="G4" t="s">
        <v>60</v>
      </c>
      <c r="H4" s="2">
        <v>37670</v>
      </c>
    </row>
    <row r="5" spans="1:9" x14ac:dyDescent="0.2">
      <c r="A5" t="s">
        <v>15</v>
      </c>
      <c r="B5" t="s">
        <v>15</v>
      </c>
      <c r="C5" t="s">
        <v>28</v>
      </c>
      <c r="D5">
        <v>40.08</v>
      </c>
      <c r="E5">
        <v>-88.24</v>
      </c>
      <c r="F5">
        <v>543</v>
      </c>
      <c r="G5" t="s">
        <v>61</v>
      </c>
      <c r="H5" s="2">
        <v>37670</v>
      </c>
    </row>
    <row r="6" spans="1:9" x14ac:dyDescent="0.2">
      <c r="A6" t="s">
        <v>33</v>
      </c>
      <c r="B6" t="s">
        <v>3</v>
      </c>
      <c r="C6" t="s">
        <v>24</v>
      </c>
      <c r="D6">
        <v>41.841999999999999</v>
      </c>
      <c r="E6">
        <v>-88.850999999999999</v>
      </c>
      <c r="F6">
        <v>515</v>
      </c>
      <c r="G6" t="s">
        <v>60</v>
      </c>
      <c r="H6" s="4">
        <v>37670</v>
      </c>
    </row>
    <row r="7" spans="1:9" x14ac:dyDescent="0.2">
      <c r="A7" t="s">
        <v>34</v>
      </c>
      <c r="B7" t="s">
        <v>1</v>
      </c>
      <c r="C7" t="s">
        <v>19</v>
      </c>
      <c r="D7">
        <v>37.436999999999998</v>
      </c>
      <c r="E7">
        <v>-88.667000000000002</v>
      </c>
      <c r="F7">
        <v>486</v>
      </c>
      <c r="G7" t="s">
        <v>60</v>
      </c>
      <c r="H7" s="4">
        <v>37670</v>
      </c>
    </row>
    <row r="8" spans="1:9" x14ac:dyDescent="0.2">
      <c r="A8" t="s">
        <v>35</v>
      </c>
      <c r="B8" t="s">
        <v>14</v>
      </c>
      <c r="C8" t="s">
        <v>46</v>
      </c>
      <c r="D8">
        <v>38.380000000000003</v>
      </c>
      <c r="E8">
        <v>-88.38</v>
      </c>
      <c r="F8">
        <f>807/2</f>
        <v>403.5</v>
      </c>
      <c r="G8" t="s">
        <v>60</v>
      </c>
      <c r="H8" s="2">
        <v>40911</v>
      </c>
    </row>
    <row r="9" spans="1:9" x14ac:dyDescent="0.2">
      <c r="A9" t="s">
        <v>36</v>
      </c>
      <c r="B9" t="s">
        <v>11</v>
      </c>
      <c r="C9" t="s">
        <v>27</v>
      </c>
      <c r="D9">
        <v>42.29</v>
      </c>
      <c r="E9">
        <v>-89.673000000000002</v>
      </c>
      <c r="F9">
        <f>963/2</f>
        <v>481.5</v>
      </c>
      <c r="G9" t="s">
        <v>60</v>
      </c>
      <c r="H9" s="4">
        <v>37670</v>
      </c>
    </row>
    <row r="10" spans="1:9" x14ac:dyDescent="0.2">
      <c r="A10" s="1" t="s">
        <v>31</v>
      </c>
      <c r="B10" s="1" t="s">
        <v>8</v>
      </c>
      <c r="C10" s="1" t="s">
        <v>45</v>
      </c>
      <c r="D10" s="1">
        <f>38+31/60</f>
        <v>38.516666666666666</v>
      </c>
      <c r="E10" s="1">
        <f>-(89+53/60)</f>
        <v>-89.88333333333334</v>
      </c>
      <c r="F10">
        <v>474</v>
      </c>
      <c r="G10" t="s">
        <v>60</v>
      </c>
      <c r="H10" s="2">
        <v>40484</v>
      </c>
    </row>
    <row r="11" spans="1:9" x14ac:dyDescent="0.2">
      <c r="A11" t="s">
        <v>40</v>
      </c>
      <c r="B11" t="s">
        <v>6</v>
      </c>
      <c r="C11" t="s">
        <v>49</v>
      </c>
      <c r="D11">
        <f>40+42/60</f>
        <v>40.700000000000003</v>
      </c>
      <c r="E11">
        <f>-89-32/60</f>
        <v>-89.533333333333331</v>
      </c>
      <c r="F11">
        <v>445</v>
      </c>
      <c r="G11" t="s">
        <v>60</v>
      </c>
      <c r="H11" s="2">
        <v>40435</v>
      </c>
    </row>
    <row r="12" spans="1:9" x14ac:dyDescent="0.2">
      <c r="A12" t="s">
        <v>42</v>
      </c>
      <c r="B12" t="s">
        <v>7</v>
      </c>
      <c r="C12" t="s">
        <v>50</v>
      </c>
      <c r="D12">
        <f>39+31/60</f>
        <v>39.516666666666666</v>
      </c>
      <c r="E12">
        <f>-89-37/60</f>
        <v>-89.61666666666666</v>
      </c>
      <c r="F12">
        <v>499</v>
      </c>
      <c r="G12" t="s">
        <v>60</v>
      </c>
      <c r="H12" s="2">
        <v>40876</v>
      </c>
    </row>
    <row r="13" spans="1:9" x14ac:dyDescent="0.2">
      <c r="A13" t="s">
        <v>29</v>
      </c>
      <c r="B13" t="s">
        <v>4</v>
      </c>
      <c r="C13" t="s">
        <v>25</v>
      </c>
      <c r="D13">
        <v>40.93</v>
      </c>
      <c r="E13">
        <v>-90.72</v>
      </c>
      <c r="F13">
        <f>1008/2</f>
        <v>504</v>
      </c>
      <c r="G13" t="s">
        <v>60</v>
      </c>
      <c r="H13" s="4">
        <v>37670</v>
      </c>
    </row>
    <row r="14" spans="1:9" x14ac:dyDescent="0.2">
      <c r="A14" t="s">
        <v>39</v>
      </c>
      <c r="B14" t="s">
        <v>10</v>
      </c>
      <c r="C14" t="s">
        <v>48</v>
      </c>
      <c r="D14">
        <f>38+44/60</f>
        <v>38.733333333333334</v>
      </c>
      <c r="E14">
        <f>-88-6/60</f>
        <v>-88.1</v>
      </c>
      <c r="F14">
        <v>417</v>
      </c>
      <c r="G14" t="s">
        <v>60</v>
      </c>
      <c r="H14" s="2">
        <v>40695</v>
      </c>
    </row>
    <row r="15" spans="1:9" x14ac:dyDescent="0.2">
      <c r="A15" t="s">
        <v>41</v>
      </c>
      <c r="B15" t="s">
        <v>23</v>
      </c>
      <c r="C15" t="s">
        <v>22</v>
      </c>
      <c r="D15">
        <v>39.805999999999997</v>
      </c>
      <c r="E15">
        <v>-90.823999999999998</v>
      </c>
      <c r="F15">
        <v>544</v>
      </c>
      <c r="G15" t="s">
        <v>60</v>
      </c>
      <c r="H15" s="4">
        <v>37670</v>
      </c>
    </row>
    <row r="16" spans="1:9" x14ac:dyDescent="0.2">
      <c r="A16" t="s">
        <v>37</v>
      </c>
      <c r="B16" t="s">
        <v>64</v>
      </c>
      <c r="C16" t="s">
        <v>55</v>
      </c>
      <c r="D16">
        <f>38+8/60</f>
        <v>38.133333333333333</v>
      </c>
      <c r="E16">
        <f>-88-55/60</f>
        <v>-88.916666666666671</v>
      </c>
      <c r="F16">
        <v>467</v>
      </c>
      <c r="G16" t="s">
        <v>60</v>
      </c>
      <c r="H16" s="2">
        <v>40952</v>
      </c>
    </row>
    <row r="17" spans="1:8" x14ac:dyDescent="0.2">
      <c r="A17" t="s">
        <v>67</v>
      </c>
      <c r="B17" t="s">
        <v>5</v>
      </c>
      <c r="C17" t="s">
        <v>47</v>
      </c>
      <c r="D17">
        <v>40.17</v>
      </c>
      <c r="E17">
        <v>-90.08</v>
      </c>
      <c r="H17" s="2">
        <v>40963</v>
      </c>
    </row>
    <row r="18" spans="1:8" x14ac:dyDescent="0.2">
      <c r="A18" t="s">
        <v>30</v>
      </c>
      <c r="B18" t="s">
        <v>9</v>
      </c>
      <c r="C18" t="s">
        <v>26</v>
      </c>
      <c r="D18">
        <v>37.700000000000003</v>
      </c>
      <c r="E18">
        <v>-89.24</v>
      </c>
      <c r="F18">
        <v>491</v>
      </c>
      <c r="G18" t="s">
        <v>60</v>
      </c>
      <c r="H18" s="4">
        <v>37670</v>
      </c>
    </row>
    <row r="19" spans="1:8" x14ac:dyDescent="0.2">
      <c r="A19" t="s">
        <v>38</v>
      </c>
      <c r="B19" t="s">
        <v>53</v>
      </c>
      <c r="C19" t="s">
        <v>54</v>
      </c>
      <c r="D19" t="s">
        <v>65</v>
      </c>
      <c r="H19" s="2">
        <v>42681</v>
      </c>
    </row>
    <row r="20" spans="1:8" x14ac:dyDescent="0.2">
      <c r="A20" t="s">
        <v>43</v>
      </c>
      <c r="B20" t="s">
        <v>13</v>
      </c>
      <c r="C20" t="s">
        <v>51</v>
      </c>
      <c r="D20">
        <v>41.9</v>
      </c>
      <c r="E20">
        <v>-88.37</v>
      </c>
      <c r="F20">
        <f>896/2</f>
        <v>448</v>
      </c>
      <c r="G20" t="s">
        <v>60</v>
      </c>
      <c r="H20" s="2">
        <v>40372</v>
      </c>
    </row>
    <row r="21" spans="1:8" x14ac:dyDescent="0.2">
      <c r="A21" t="s">
        <v>44</v>
      </c>
      <c r="B21" t="s">
        <v>12</v>
      </c>
      <c r="C21" t="s">
        <v>52</v>
      </c>
      <c r="D21">
        <f>40+25/60</f>
        <v>40.416666666666664</v>
      </c>
      <c r="E21">
        <f>-89-19/60</f>
        <v>-89.316666666666663</v>
      </c>
      <c r="F21">
        <v>435</v>
      </c>
      <c r="G21" t="s">
        <v>60</v>
      </c>
      <c r="H21" s="2">
        <v>40847</v>
      </c>
    </row>
  </sheetData>
  <autoFilter ref="A1:G1" xr:uid="{CFB78535-C090-B248-A1C3-21A1F391ACE6}">
    <sortState xmlns:xlrd2="http://schemas.microsoft.com/office/spreadsheetml/2017/richdata2" ref="A2:G21">
      <sortCondition ref="C1:C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Alam, Tahsina</cp:lastModifiedBy>
  <dcterms:created xsi:type="dcterms:W3CDTF">2025-09-10T16:24:57Z</dcterms:created>
  <dcterms:modified xsi:type="dcterms:W3CDTF">2026-04-23T20:23:41Z</dcterms:modified>
</cp:coreProperties>
</file>